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TASK\Desktop\"/>
    </mc:Choice>
  </mc:AlternateContent>
  <xr:revisionPtr revIDLastSave="0" documentId="8_{343E35BB-F964-43B3-BCE2-782CB4BD8261}" xr6:coauthVersionLast="36" xr6:coauthVersionMax="36" xr10:uidLastSave="{00000000-0000-0000-0000-000000000000}"/>
  <bookViews>
    <workbookView xWindow="0" yWindow="0" windowWidth="24000" windowHeight="9105" xr2:uid="{00000000-000D-0000-FFFF-FFFF00000000}"/>
  </bookViews>
  <sheets>
    <sheet name="Sheet1 (2)" sheetId="1" r:id="rId1"/>
    <sheet name="Sheet1 (3)" sheetId="2" r:id="rId2"/>
  </sheets>
  <calcPr calcId="191029"/>
</workbook>
</file>

<file path=xl/calcChain.xml><?xml version="1.0" encoding="utf-8"?>
<calcChain xmlns="http://schemas.openxmlformats.org/spreadsheetml/2006/main">
  <c r="H31" i="2" l="1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<sst xmlns="http://schemas.openxmlformats.org/spreadsheetml/2006/main" count="260" uniqueCount="73">
  <si>
    <t>Date</t>
  </si>
  <si>
    <t>Client</t>
  </si>
  <si>
    <t>Contact</t>
  </si>
  <si>
    <t>Revenue</t>
  </si>
  <si>
    <t>Profit</t>
  </si>
  <si>
    <t>Profit Margin</t>
  </si>
  <si>
    <t>Nyla Novak</t>
  </si>
  <si>
    <t>Kylee Townsend</t>
  </si>
  <si>
    <t>Nora Rollins</t>
  </si>
  <si>
    <t>Lucia Mckay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</si>
  <si>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</si>
  <si>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</si>
  <si>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</si>
  <si>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</si>
  <si>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</si>
  <si>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</si>
  <si>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</si>
  <si>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</si>
  <si>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</si>
  <si>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</si>
  <si>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</si>
  <si>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</si>
  <si>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</si>
  <si>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</si>
  <si>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</si>
  <si>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</si>
  <si>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</si>
  <si>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</si>
  <si>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</si>
  <si>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</si>
  <si>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</si>
  <si>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</si>
  <si>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</si>
  <si>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</si>
  <si>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</si>
  <si>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</si>
  <si>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</si>
  <si>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</si>
  <si>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</si>
  <si>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NA</t>
  </si>
  <si>
    <t>Cloud Tech</t>
  </si>
  <si>
    <t>Region</t>
  </si>
  <si>
    <t>Texas</t>
  </si>
  <si>
    <t>Strategy</t>
  </si>
  <si>
    <t>New York</t>
  </si>
  <si>
    <t>Operations</t>
  </si>
  <si>
    <t>Florida</t>
  </si>
  <si>
    <t>Big Data</t>
  </si>
  <si>
    <t>California</t>
  </si>
  <si>
    <t>Deparement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</si>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</sst>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1" fillId="0" borderId="1" xfId="0" applyFont="1" applyBorder="1"/>
    <xf numFmtId="0" fontId="0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0" fillId="0" borderId="1" xfId="0" applyFont="1" applyBorder="1" applyAlignment="1"/>
    <xf numFmtId="14" fontId="2" fillId="0" borderId="2" xfId="0" applyNumberFormat="1" applyFont="1" applyBorder="1"/>
    <xf numFmtId="165" fontId="2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2" fillId="0" borderId="7" xfId="0" applyNumberFormat="1" applyFont="1" applyBorder="1"/>
    <xf numFmtId="0" fontId="1" fillId="0" borderId="8" xfId="0" applyFont="1" applyBorder="1"/>
    <xf numFmtId="164" fontId="2" fillId="0" borderId="8" xfId="0" applyNumberFormat="1" applyFont="1" applyBorder="1" applyAlignment="1">
      <alignment horizontal="center"/>
    </xf>
    <xf numFmtId="165" fontId="2" fillId="0" borderId="9" xfId="0" applyNumberFormat="1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53256-B63F-42C5-8B85-7758B2483753}" name="Table1" displayName="Table1" ref="A1:H31" totalsRowShown="0" headerRowDxfId="0" headerRowBorderDxfId="10" tableBorderDxfId="11" totalsRowBorderDxfId="9">
  <autoFilter ref="A1:H31" xr:uid="{C59BAE89-A9C1-4DD9-819E-AA98F27A2D7B}"/>
  <tableColumns count="8">
    <tableColumn id="1" xr3:uid="{24BBC71E-E941-453C-8418-BBEF716712E6}" name="Date" dataDxfId="8"/>
    <tableColumn id="2" xr3:uid="{8FA29C61-9A13-4387-98BB-B346EB25A1FC}" name="Client" dataDxfId="7"/>
    <tableColumn id="3" xr3:uid="{EFC31D1B-43EC-4123-93E6-8DA60896E156}" name="Contact" dataDxfId="6"/>
    <tableColumn id="4" xr3:uid="{B7CAE5E1-C685-4EEF-B0B6-B5981F296A16}" name="Deparement" dataDxfId="5"/>
    <tableColumn id="5" xr3:uid="{669C967D-CD46-4BAC-86E8-8F541B585EC4}" name="Region" dataDxfId="4"/>
    <tableColumn id="6" xr3:uid="{D9B43CB5-7D3C-4267-A496-680ECC409114}" name="Revenue" dataDxfId="3"/>
    <tableColumn id="7" xr3:uid="{7CC6A984-D49D-4759-9287-87E06C79C838}" name="Profit" dataDxfId="2"/>
    <tableColumn id="8" xr3:uid="{C8C85753-E7EE-4FA9-B215-2320EA66B897}" name="Profit Margin" dataDxfId="1">
      <calculatedColumnFormula>IFERROR(G2/F2,0)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K8" sqref="K8"/>
    </sheetView>
  </sheetViews>
  <sheetFormatPr defaultColWidth="11.25" defaultRowHeight="15.75" x14ac:dyDescent="0.25"/>
  <cols>
    <col min="1" max="1" width="10.125" bestFit="1" customWidth="1"/>
    <col min="2" max="2" width="32.375" bestFit="1" customWidth="1"/>
    <col min="3" max="3" width="15.375" bestFit="1" customWidth="1"/>
    <col min="4" max="4" width="13.375" customWidth="1"/>
    <col min="5" max="5" width="8.75" bestFit="1" customWidth="1"/>
    <col min="6" max="6" width="10.125" customWidth="1"/>
    <col min="7" max="7" width="7.625" customWidth="1"/>
    <col min="8" max="8" width="14.25" customWidth="1"/>
    <col min="9" max="25" width="10.5" customWidth="1"/>
  </cols>
  <sheetData>
    <row r="1" spans="1:8" x14ac:dyDescent="0.25">
      <c r="A1" s="12" t="s">
        <v>0</v>
      </c>
      <c r="B1" s="13" t="s">
        <v>1</v>
      </c>
      <c r="C1" s="14" t="s">
        <v>2</v>
      </c>
      <c r="D1" s="14" t="s">
        <v>49</v>
      </c>
      <c r="E1" s="14" t="s">
        <v>41</v>
      </c>
      <c r="F1" s="14" t="s">
        <v>3</v>
      </c>
      <c r="G1" s="14" t="s">
        <v>4</v>
      </c>
      <c r="H1" s="15" t="s">
        <v>5</v>
      </c>
    </row>
    <row r="2" spans="1:8" x14ac:dyDescent="0.25">
      <c r="A2" s="10">
        <v>45076</v>
      </c>
      <c r="B2" s="5" t="s">
        <v>11</v>
      </c>
      <c r="C2" s="5" t="s">
        <v>50</v>
      </c>
      <c r="D2" s="6" t="s">
        <v>40</v>
      </c>
      <c r="E2" s="5" t="s">
        <v>42</v>
      </c>
      <c r="F2" s="7">
        <v>4500</v>
      </c>
      <c r="G2" s="7">
        <v>598</v>
      </c>
      <c r="H2" s="11">
        <f>IFERROR(G2/F2,0)</f>
        <v>0.13288888888888889</v>
      </c>
    </row>
    <row r="3" spans="1:8" x14ac:dyDescent="0.25">
      <c r="A3" s="10">
        <v>45076</v>
      </c>
      <c r="B3" s="5" t="s">
        <v>12</v>
      </c>
      <c r="C3" s="5" t="s">
        <v>51</v>
      </c>
      <c r="D3" s="5" t="s">
        <v>43</v>
      </c>
      <c r="E3" s="5" t="s">
        <v>44</v>
      </c>
      <c r="F3" s="7">
        <v>3800</v>
      </c>
      <c r="G3" s="7">
        <v>1045</v>
      </c>
      <c r="H3" s="11">
        <f>IFERROR(G3/F3,0)</f>
        <v>0.27500000000000002</v>
      </c>
    </row>
    <row r="4" spans="1:8" x14ac:dyDescent="0.25">
      <c r="A4" s="10">
        <v>45076</v>
      </c>
      <c r="B4" s="5" t="s">
        <v>13</v>
      </c>
      <c r="C4" s="5" t="s">
        <v>52</v>
      </c>
      <c r="D4" s="5" t="s">
        <v>43</v>
      </c>
      <c r="E4" s="9" t="s">
        <v>44</v>
      </c>
      <c r="F4" s="7">
        <v>3712.5</v>
      </c>
      <c r="G4" s="7">
        <v>1009</v>
      </c>
      <c r="H4" s="11">
        <f>IFERROR(G4/F4,0)</f>
        <v>0.2717845117845118</v>
      </c>
    </row>
    <row r="5" spans="1:8" x14ac:dyDescent="0.25">
      <c r="A5" s="10">
        <v>45076</v>
      </c>
      <c r="B5" s="5" t="s">
        <v>14</v>
      </c>
      <c r="C5" s="5" t="s">
        <v>6</v>
      </c>
      <c r="D5" s="5" t="s">
        <v>45</v>
      </c>
      <c r="E5" s="9" t="s">
        <v>46</v>
      </c>
      <c r="F5" s="7" t="s">
        <v>39</v>
      </c>
      <c r="G5" s="7">
        <v>779</v>
      </c>
      <c r="H5" s="11">
        <f>IFERROR(G5/F5,0)</f>
        <v>0</v>
      </c>
    </row>
    <row r="6" spans="1:8" x14ac:dyDescent="0.25">
      <c r="A6" s="10">
        <v>45076</v>
      </c>
      <c r="B6" s="5" t="s">
        <v>15</v>
      </c>
      <c r="C6" s="5" t="s">
        <v>53</v>
      </c>
      <c r="D6" s="5" t="s">
        <v>45</v>
      </c>
      <c r="E6" s="5" t="s">
        <v>46</v>
      </c>
      <c r="F6" s="7">
        <v>5000</v>
      </c>
      <c r="G6" s="7">
        <v>684</v>
      </c>
      <c r="H6" s="11">
        <f>IFERROR(G6/F6,0)</f>
        <v>0.1368</v>
      </c>
    </row>
    <row r="7" spans="1:8" x14ac:dyDescent="0.25">
      <c r="A7" s="10">
        <v>45077</v>
      </c>
      <c r="B7" s="5" t="s">
        <v>16</v>
      </c>
      <c r="C7" s="5" t="s">
        <v>54</v>
      </c>
      <c r="D7" s="5" t="s">
        <v>40</v>
      </c>
      <c r="E7" s="5" t="s">
        <v>42</v>
      </c>
      <c r="F7" s="7">
        <v>6100</v>
      </c>
      <c r="G7" s="7">
        <v>544</v>
      </c>
      <c r="H7" s="11">
        <f>IFERROR(G7/F7,0)</f>
        <v>8.9180327868852466E-2</v>
      </c>
    </row>
    <row r="8" spans="1:8" x14ac:dyDescent="0.25">
      <c r="A8" s="10">
        <v>45077</v>
      </c>
      <c r="B8" s="5" t="s">
        <v>17</v>
      </c>
      <c r="C8" s="5" t="s">
        <v>55</v>
      </c>
      <c r="D8" s="5" t="s">
        <v>40</v>
      </c>
      <c r="E8" s="5" t="s">
        <v>42</v>
      </c>
      <c r="F8" s="7">
        <v>4625</v>
      </c>
      <c r="G8" s="7">
        <v>670</v>
      </c>
      <c r="H8" s="11">
        <f>IFERROR(G8/F8,0)</f>
        <v>0.14486486486486486</v>
      </c>
    </row>
    <row r="9" spans="1:8" x14ac:dyDescent="0.25">
      <c r="A9" s="10">
        <v>45077</v>
      </c>
      <c r="B9" s="5" t="s">
        <v>18</v>
      </c>
      <c r="C9" s="5" t="s">
        <v>56</v>
      </c>
      <c r="D9" s="5" t="s">
        <v>40</v>
      </c>
      <c r="E9" s="5" t="s">
        <v>42</v>
      </c>
      <c r="F9" s="7">
        <v>3800</v>
      </c>
      <c r="G9" s="7">
        <v>2045</v>
      </c>
      <c r="H9" s="11">
        <f>IFERROR(G9/F9,0)</f>
        <v>0.53815789473684206</v>
      </c>
    </row>
    <row r="10" spans="1:8" x14ac:dyDescent="0.25">
      <c r="A10" s="10">
        <v>45077</v>
      </c>
      <c r="B10" s="5" t="s">
        <v>19</v>
      </c>
      <c r="C10" s="5" t="s">
        <v>7</v>
      </c>
      <c r="D10" s="5" t="s">
        <v>40</v>
      </c>
      <c r="E10" s="5" t="s">
        <v>42</v>
      </c>
      <c r="F10" s="7">
        <v>3600</v>
      </c>
      <c r="G10" s="7">
        <v>1564</v>
      </c>
      <c r="H10" s="11">
        <f>IFERROR(G10/F10,0)</f>
        <v>0.43444444444444447</v>
      </c>
    </row>
    <row r="11" spans="1:8" x14ac:dyDescent="0.25">
      <c r="A11" s="10">
        <v>45077</v>
      </c>
      <c r="B11" s="5" t="s">
        <v>20</v>
      </c>
      <c r="C11" s="5" t="s">
        <v>8</v>
      </c>
      <c r="D11" s="5" t="s">
        <v>40</v>
      </c>
      <c r="E11" s="5" t="s">
        <v>42</v>
      </c>
      <c r="F11" s="7">
        <v>5100</v>
      </c>
      <c r="G11" s="7">
        <v>1220</v>
      </c>
      <c r="H11" s="11">
        <f>IFERROR(G11/F11,0)</f>
        <v>0.23921568627450981</v>
      </c>
    </row>
    <row r="12" spans="1:8" x14ac:dyDescent="0.25">
      <c r="A12" s="10">
        <v>45077</v>
      </c>
      <c r="B12" s="5" t="s">
        <v>21</v>
      </c>
      <c r="C12" s="5" t="s">
        <v>57</v>
      </c>
      <c r="D12" s="5" t="s">
        <v>40</v>
      </c>
      <c r="E12" s="5" t="s">
        <v>42</v>
      </c>
      <c r="F12" s="7">
        <v>4750</v>
      </c>
      <c r="G12" s="7">
        <v>1435</v>
      </c>
      <c r="H12" s="11">
        <f>IFERROR(G12/F12,0)</f>
        <v>0.30210526315789471</v>
      </c>
    </row>
    <row r="13" spans="1:8" x14ac:dyDescent="0.25">
      <c r="A13" s="10">
        <v>45077</v>
      </c>
      <c r="B13" s="5" t="s">
        <v>22</v>
      </c>
      <c r="C13" s="5" t="s">
        <v>58</v>
      </c>
      <c r="D13" s="5" t="s">
        <v>45</v>
      </c>
      <c r="E13" s="5" t="s">
        <v>46</v>
      </c>
      <c r="F13" s="7">
        <v>6000</v>
      </c>
      <c r="G13" s="7">
        <v>998</v>
      </c>
      <c r="H13" s="11">
        <f>IFERROR(G13/F13,0)</f>
        <v>0.16633333333333333</v>
      </c>
    </row>
    <row r="14" spans="1:8" x14ac:dyDescent="0.25">
      <c r="A14" s="10">
        <v>45077</v>
      </c>
      <c r="B14" s="5" t="s">
        <v>23</v>
      </c>
      <c r="C14" s="5" t="s">
        <v>59</v>
      </c>
      <c r="D14" s="5" t="s">
        <v>47</v>
      </c>
      <c r="E14" s="5" t="s">
        <v>48</v>
      </c>
      <c r="F14" s="7">
        <v>4500</v>
      </c>
      <c r="G14" s="7">
        <v>780</v>
      </c>
      <c r="H14" s="11">
        <f>IFERROR(G14/F14,0)</f>
        <v>0.17333333333333334</v>
      </c>
    </row>
    <row r="15" spans="1:8" x14ac:dyDescent="0.25">
      <c r="A15" s="10">
        <v>45078</v>
      </c>
      <c r="B15" s="5" t="s">
        <v>24</v>
      </c>
      <c r="C15" s="5" t="s">
        <v>9</v>
      </c>
      <c r="D15" s="5" t="s">
        <v>47</v>
      </c>
      <c r="E15" s="5" t="s">
        <v>48</v>
      </c>
      <c r="F15" s="7" t="s">
        <v>39</v>
      </c>
      <c r="G15" s="7">
        <v>1044</v>
      </c>
      <c r="H15" s="11">
        <f>IFERROR(G15/F15,0)</f>
        <v>0</v>
      </c>
    </row>
    <row r="16" spans="1:8" x14ac:dyDescent="0.25">
      <c r="A16" s="10">
        <v>45078</v>
      </c>
      <c r="B16" s="5" t="s">
        <v>25</v>
      </c>
      <c r="C16" s="5" t="s">
        <v>60</v>
      </c>
      <c r="D16" s="5" t="s">
        <v>47</v>
      </c>
      <c r="E16" s="5" t="s">
        <v>48</v>
      </c>
      <c r="F16" s="7">
        <v>3712.5</v>
      </c>
      <c r="G16" s="7">
        <v>1222</v>
      </c>
      <c r="H16" s="11">
        <f>IFERROR(G16/F16,0)</f>
        <v>0.32915824915824915</v>
      </c>
    </row>
    <row r="17" spans="1:8" x14ac:dyDescent="0.25">
      <c r="A17" s="10">
        <v>45078</v>
      </c>
      <c r="B17" s="5" t="s">
        <v>26</v>
      </c>
      <c r="C17" s="5" t="s">
        <v>61</v>
      </c>
      <c r="D17" s="5" t="s">
        <v>47</v>
      </c>
      <c r="E17" s="5" t="s">
        <v>48</v>
      </c>
      <c r="F17" s="7">
        <v>4950</v>
      </c>
      <c r="G17" s="7">
        <v>1065</v>
      </c>
      <c r="H17" s="11">
        <f>IFERROR(G17/F17,0)</f>
        <v>0.21515151515151515</v>
      </c>
    </row>
    <row r="18" spans="1:8" x14ac:dyDescent="0.25">
      <c r="A18" s="10">
        <v>45078</v>
      </c>
      <c r="B18" s="5" t="s">
        <v>27</v>
      </c>
      <c r="C18" s="5" t="s">
        <v>62</v>
      </c>
      <c r="D18" s="5" t="s">
        <v>45</v>
      </c>
      <c r="E18" s="5" t="s">
        <v>46</v>
      </c>
      <c r="F18" s="7">
        <v>4750</v>
      </c>
      <c r="G18" s="7">
        <v>810</v>
      </c>
      <c r="H18" s="11">
        <f>IFERROR(G18/F18,0)</f>
        <v>0.17052631578947369</v>
      </c>
    </row>
    <row r="19" spans="1:8" x14ac:dyDescent="0.25">
      <c r="A19" s="10">
        <v>45078</v>
      </c>
      <c r="B19" s="5" t="s">
        <v>28</v>
      </c>
      <c r="C19" s="5" t="s">
        <v>63</v>
      </c>
      <c r="D19" s="5" t="s">
        <v>45</v>
      </c>
      <c r="E19" s="5" t="s">
        <v>46</v>
      </c>
      <c r="F19" s="7">
        <v>7320</v>
      </c>
      <c r="G19" s="7">
        <v>933</v>
      </c>
      <c r="H19" s="11">
        <f>IFERROR(G19/F19,0)</f>
        <v>0.12745901639344262</v>
      </c>
    </row>
    <row r="20" spans="1:8" x14ac:dyDescent="0.25">
      <c r="A20" s="10">
        <v>45077</v>
      </c>
      <c r="B20" s="5" t="s">
        <v>29</v>
      </c>
      <c r="C20" s="5" t="s">
        <v>64</v>
      </c>
      <c r="D20" s="5" t="s">
        <v>47</v>
      </c>
      <c r="E20" s="5" t="s">
        <v>48</v>
      </c>
      <c r="F20" s="7">
        <v>6000</v>
      </c>
      <c r="G20" s="7">
        <v>998</v>
      </c>
      <c r="H20" s="11">
        <f>IFERROR(G20/F20,0)</f>
        <v>0.16633333333333333</v>
      </c>
    </row>
    <row r="21" spans="1:8" x14ac:dyDescent="0.25">
      <c r="A21" s="10">
        <v>45077</v>
      </c>
      <c r="B21" s="5" t="s">
        <v>30</v>
      </c>
      <c r="C21" s="5" t="s">
        <v>65</v>
      </c>
      <c r="D21" s="5" t="s">
        <v>47</v>
      </c>
      <c r="E21" s="5" t="s">
        <v>48</v>
      </c>
      <c r="F21" s="7">
        <v>4500</v>
      </c>
      <c r="G21" s="7">
        <v>780</v>
      </c>
      <c r="H21" s="11">
        <f>IFERROR(G21/F21,0)</f>
        <v>0.17333333333333334</v>
      </c>
    </row>
    <row r="22" spans="1:8" x14ac:dyDescent="0.25">
      <c r="A22" s="10">
        <v>45078</v>
      </c>
      <c r="B22" s="5" t="s">
        <v>31</v>
      </c>
      <c r="C22" s="5" t="s">
        <v>66</v>
      </c>
      <c r="D22" s="5" t="s">
        <v>47</v>
      </c>
      <c r="E22" s="5" t="s">
        <v>48</v>
      </c>
      <c r="F22" s="7">
        <v>5087.5</v>
      </c>
      <c r="G22" s="7">
        <v>655</v>
      </c>
      <c r="H22" s="11">
        <f>IFERROR(G22/F22,0)</f>
        <v>0.12874692874692875</v>
      </c>
    </row>
    <row r="23" spans="1:8" x14ac:dyDescent="0.25">
      <c r="A23" s="10">
        <v>45078</v>
      </c>
      <c r="B23" s="5" t="s">
        <v>32</v>
      </c>
      <c r="C23" s="5" t="s">
        <v>67</v>
      </c>
      <c r="D23" s="5" t="s">
        <v>47</v>
      </c>
      <c r="E23" s="5" t="s">
        <v>48</v>
      </c>
      <c r="F23" s="7">
        <v>4500</v>
      </c>
      <c r="G23" s="7">
        <v>722</v>
      </c>
      <c r="H23" s="11">
        <f>IFERROR(G23/F23,0)</f>
        <v>0.16044444444444445</v>
      </c>
    </row>
    <row r="24" spans="1:8" x14ac:dyDescent="0.25">
      <c r="A24" s="10">
        <v>45078</v>
      </c>
      <c r="B24" s="5" t="s">
        <v>33</v>
      </c>
      <c r="C24" s="5" t="s">
        <v>68</v>
      </c>
      <c r="D24" s="5" t="s">
        <v>43</v>
      </c>
      <c r="E24" s="5" t="s">
        <v>44</v>
      </c>
      <c r="F24" s="7">
        <v>4250</v>
      </c>
      <c r="G24" s="7">
        <v>901</v>
      </c>
      <c r="H24" s="11">
        <f>IFERROR(G24/F24,0)</f>
        <v>0.21199999999999999</v>
      </c>
    </row>
    <row r="25" spans="1:8" x14ac:dyDescent="0.25">
      <c r="A25" s="10">
        <v>45079</v>
      </c>
      <c r="B25" s="5" t="s">
        <v>34</v>
      </c>
      <c r="C25" s="5" t="s">
        <v>69</v>
      </c>
      <c r="D25" s="5" t="s">
        <v>43</v>
      </c>
      <c r="E25" s="5" t="s">
        <v>44</v>
      </c>
      <c r="F25" s="7">
        <v>5250</v>
      </c>
      <c r="G25" s="7">
        <v>1349</v>
      </c>
      <c r="H25" s="11">
        <f>IFERROR(G25/F25,0)</f>
        <v>0.25695238095238093</v>
      </c>
    </row>
    <row r="26" spans="1:8" x14ac:dyDescent="0.25">
      <c r="A26" s="10">
        <v>45079</v>
      </c>
      <c r="B26" s="5" t="s">
        <v>35</v>
      </c>
      <c r="C26" s="5" t="s">
        <v>70</v>
      </c>
      <c r="D26" s="5" t="s">
        <v>43</v>
      </c>
      <c r="E26" s="5" t="s">
        <v>44</v>
      </c>
      <c r="F26" s="7">
        <v>6500</v>
      </c>
      <c r="G26" s="7">
        <v>1288</v>
      </c>
      <c r="H26" s="11">
        <f>IFERROR(G26/F26,0)</f>
        <v>0.19815384615384615</v>
      </c>
    </row>
    <row r="27" spans="1:8" x14ac:dyDescent="0.25">
      <c r="A27" s="10">
        <v>45079</v>
      </c>
      <c r="B27" s="5" t="s">
        <v>36</v>
      </c>
      <c r="C27" s="5" t="s">
        <v>71</v>
      </c>
      <c r="D27" s="5" t="s">
        <v>43</v>
      </c>
      <c r="E27" s="5" t="s">
        <v>44</v>
      </c>
      <c r="F27" s="7">
        <v>7500</v>
      </c>
      <c r="G27" s="7">
        <v>1664</v>
      </c>
      <c r="H27" s="11">
        <f>IFERROR(G27/F27,0)</f>
        <v>0.22186666666666666</v>
      </c>
    </row>
    <row r="28" spans="1:8" x14ac:dyDescent="0.25">
      <c r="A28" s="10">
        <v>45079</v>
      </c>
      <c r="B28" s="5" t="s">
        <v>37</v>
      </c>
      <c r="C28" s="5" t="s">
        <v>72</v>
      </c>
      <c r="D28" s="5" t="s">
        <v>43</v>
      </c>
      <c r="E28" s="5" t="s">
        <v>44</v>
      </c>
      <c r="F28" s="7">
        <v>5500</v>
      </c>
      <c r="G28" s="7">
        <v>1320</v>
      </c>
      <c r="H28" s="11">
        <f>IFERROR(G28/F28,0)</f>
        <v>0.24</v>
      </c>
    </row>
    <row r="29" spans="1:8" x14ac:dyDescent="0.25">
      <c r="A29" s="10">
        <v>45079</v>
      </c>
      <c r="B29" s="5" t="s">
        <v>38</v>
      </c>
      <c r="C29" s="5" t="s">
        <v>10</v>
      </c>
      <c r="D29" s="5" t="s">
        <v>43</v>
      </c>
      <c r="E29" s="5" t="s">
        <v>44</v>
      </c>
      <c r="F29" s="7">
        <v>4625</v>
      </c>
      <c r="G29" s="7">
        <v>1001</v>
      </c>
      <c r="H29" s="11">
        <f>IFERROR(G29/F29,0)</f>
        <v>0.21643243243243243</v>
      </c>
    </row>
    <row r="30" spans="1:8" x14ac:dyDescent="0.25">
      <c r="A30" s="10">
        <v>45079</v>
      </c>
      <c r="B30" s="5" t="s">
        <v>22</v>
      </c>
      <c r="C30" s="5" t="s">
        <v>58</v>
      </c>
      <c r="D30" s="5" t="s">
        <v>45</v>
      </c>
      <c r="E30" s="5" t="s">
        <v>46</v>
      </c>
      <c r="F30" s="7">
        <v>4500</v>
      </c>
      <c r="G30" s="7">
        <v>960</v>
      </c>
      <c r="H30" s="11">
        <f>IFERROR(G30/F30,0)</f>
        <v>0.21333333333333335</v>
      </c>
    </row>
    <row r="31" spans="1:8" x14ac:dyDescent="0.25">
      <c r="A31" s="16">
        <v>45079</v>
      </c>
      <c r="B31" s="17" t="s">
        <v>23</v>
      </c>
      <c r="C31" s="17" t="s">
        <v>59</v>
      </c>
      <c r="D31" s="17" t="s">
        <v>47</v>
      </c>
      <c r="E31" s="17" t="s">
        <v>48</v>
      </c>
      <c r="F31" s="18">
        <v>5400</v>
      </c>
      <c r="G31" s="18">
        <v>540</v>
      </c>
      <c r="H31" s="19">
        <f>IFERROR(G31/F31,0)</f>
        <v>0.1</v>
      </c>
    </row>
    <row r="32" spans="1:8" x14ac:dyDescent="0.25">
      <c r="F32" s="1"/>
    </row>
  </sheetData>
  <conditionalFormatting sqref="B1001:B1048576 B1:B32">
    <cfRule type="duplicateValues" dxfId="13" priority="2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903-2E10-4F68-87E7-14888E640795}">
  <dimension ref="A1:H32"/>
  <sheetViews>
    <sheetView topLeftCell="A4" workbookViewId="0">
      <selection activeCell="B8" sqref="B8"/>
    </sheetView>
  </sheetViews>
  <sheetFormatPr defaultColWidth="11.25" defaultRowHeight="15.75" x14ac:dyDescent="0.25"/>
  <cols>
    <col min="1" max="1" width="10.125" bestFit="1" customWidth="1"/>
    <col min="2" max="2" width="32.375" bestFit="1" customWidth="1"/>
    <col min="3" max="3" width="15.375" bestFit="1" customWidth="1"/>
    <col min="4" max="4" width="11.5" bestFit="1" customWidth="1"/>
    <col min="5" max="5" width="8.75" bestFit="1" customWidth="1"/>
    <col min="6" max="6" width="8.25" bestFit="1" customWidth="1"/>
    <col min="7" max="7" width="7" bestFit="1" customWidth="1"/>
    <col min="8" max="8" width="12.375" bestFit="1" customWidth="1"/>
    <col min="9" max="25" width="10.5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49</v>
      </c>
      <c r="E1" s="3" t="s">
        <v>41</v>
      </c>
      <c r="F1" s="3" t="s">
        <v>3</v>
      </c>
      <c r="G1" s="3" t="s">
        <v>4</v>
      </c>
      <c r="H1" s="3" t="s">
        <v>5</v>
      </c>
    </row>
    <row r="2" spans="1:8" x14ac:dyDescent="0.25">
      <c r="A2" s="4">
        <v>45076</v>
      </c>
      <c r="B2" s="5" t="s">
        <v>11</v>
      </c>
      <c r="C2" s="5" t="s">
        <v>50</v>
      </c>
      <c r="D2" s="6" t="s">
        <v>40</v>
      </c>
      <c r="E2" s="5" t="s">
        <v>42</v>
      </c>
      <c r="F2" s="7">
        <v>4500</v>
      </c>
      <c r="G2" s="7">
        <v>598</v>
      </c>
      <c r="H2" s="8">
        <f>IFERROR(G2/F2,0)</f>
        <v>0.13288888888888889</v>
      </c>
    </row>
    <row r="3" spans="1:8" x14ac:dyDescent="0.25">
      <c r="A3" s="4">
        <v>45076</v>
      </c>
      <c r="B3" s="5" t="s">
        <v>12</v>
      </c>
      <c r="C3" s="5" t="s">
        <v>51</v>
      </c>
      <c r="D3" s="5" t="s">
        <v>43</v>
      </c>
      <c r="E3" s="5" t="s">
        <v>44</v>
      </c>
      <c r="F3" s="7">
        <v>3800</v>
      </c>
      <c r="G3" s="7">
        <v>1045</v>
      </c>
      <c r="H3" s="8">
        <f>IFERROR(G3/F3,0)</f>
        <v>0.27500000000000002</v>
      </c>
    </row>
    <row r="4" spans="1:8" x14ac:dyDescent="0.25">
      <c r="A4" s="4">
        <v>45076</v>
      </c>
      <c r="B4" s="5" t="s">
        <v>13</v>
      </c>
      <c r="C4" s="5" t="s">
        <v>52</v>
      </c>
      <c r="D4" s="5" t="s">
        <v>43</v>
      </c>
      <c r="E4" s="9" t="s">
        <v>44</v>
      </c>
      <c r="F4" s="7">
        <v>3712.5</v>
      </c>
      <c r="G4" s="7">
        <v>1009</v>
      </c>
      <c r="H4" s="8">
        <f>IFERROR(G4/F4,0)</f>
        <v>0.2717845117845118</v>
      </c>
    </row>
    <row r="5" spans="1:8" x14ac:dyDescent="0.25">
      <c r="A5" s="4">
        <v>45076</v>
      </c>
      <c r="B5" s="5" t="s">
        <v>14</v>
      </c>
      <c r="C5" s="5" t="s">
        <v>6</v>
      </c>
      <c r="D5" s="5" t="s">
        <v>45</v>
      </c>
      <c r="E5" s="9" t="s">
        <v>46</v>
      </c>
      <c r="F5" s="7" t="s">
        <v>39</v>
      </c>
      <c r="G5" s="7">
        <v>779</v>
      </c>
      <c r="H5" s="8">
        <f>IFERROR(G5/F5,0)</f>
        <v>0</v>
      </c>
    </row>
    <row r="6" spans="1:8" x14ac:dyDescent="0.25">
      <c r="A6" s="4">
        <v>45076</v>
      </c>
      <c r="B6" s="5" t="s">
        <v>15</v>
      </c>
      <c r="C6" s="5" t="s">
        <v>53</v>
      </c>
      <c r="D6" s="5" t="s">
        <v>45</v>
      </c>
      <c r="E6" s="5" t="s">
        <v>46</v>
      </c>
      <c r="F6" s="7">
        <v>5000</v>
      </c>
      <c r="G6" s="7">
        <v>684</v>
      </c>
      <c r="H6" s="8">
        <f>IFERROR(G6/F6,0)</f>
        <v>0.1368</v>
      </c>
    </row>
    <row r="7" spans="1:8" x14ac:dyDescent="0.25">
      <c r="A7" s="4">
        <v>45077</v>
      </c>
      <c r="B7" s="5" t="s">
        <v>16</v>
      </c>
      <c r="C7" s="5" t="s">
        <v>54</v>
      </c>
      <c r="D7" s="5" t="s">
        <v>40</v>
      </c>
      <c r="E7" s="5" t="s">
        <v>42</v>
      </c>
      <c r="F7" s="7">
        <v>6100</v>
      </c>
      <c r="G7" s="7">
        <v>544</v>
      </c>
      <c r="H7" s="8">
        <f>IFERROR(G7/F7,0)</f>
        <v>8.9180327868852466E-2</v>
      </c>
    </row>
    <row r="8" spans="1:8" x14ac:dyDescent="0.25">
      <c r="A8" s="4">
        <v>45077</v>
      </c>
      <c r="B8" s="5" t="s">
        <v>17</v>
      </c>
      <c r="C8" s="5" t="s">
        <v>55</v>
      </c>
      <c r="D8" s="5" t="s">
        <v>40</v>
      </c>
      <c r="E8" s="5" t="s">
        <v>42</v>
      </c>
      <c r="F8" s="7">
        <v>4625</v>
      </c>
      <c r="G8" s="7">
        <v>670</v>
      </c>
      <c r="H8" s="8">
        <f>IFERROR(G8/F8,0)</f>
        <v>0.14486486486486486</v>
      </c>
    </row>
    <row r="9" spans="1:8" x14ac:dyDescent="0.25">
      <c r="A9" s="4">
        <v>45077</v>
      </c>
      <c r="B9" s="5" t="s">
        <v>18</v>
      </c>
      <c r="C9" s="5" t="s">
        <v>56</v>
      </c>
      <c r="D9" s="5" t="s">
        <v>40</v>
      </c>
      <c r="E9" s="5" t="s">
        <v>42</v>
      </c>
      <c r="F9" s="7">
        <v>3800</v>
      </c>
      <c r="G9" s="7">
        <v>2045</v>
      </c>
      <c r="H9" s="8">
        <f>IFERROR(G9/F9,0)</f>
        <v>0.53815789473684206</v>
      </c>
    </row>
    <row r="10" spans="1:8" x14ac:dyDescent="0.25">
      <c r="A10" s="4">
        <v>45077</v>
      </c>
      <c r="B10" s="5" t="s">
        <v>19</v>
      </c>
      <c r="C10" s="5" t="s">
        <v>7</v>
      </c>
      <c r="D10" s="5" t="s">
        <v>40</v>
      </c>
      <c r="E10" s="5" t="s">
        <v>42</v>
      </c>
      <c r="F10" s="7">
        <v>3600</v>
      </c>
      <c r="G10" s="7">
        <v>1564</v>
      </c>
      <c r="H10" s="8">
        <f>IFERROR(G10/F10,0)</f>
        <v>0.43444444444444447</v>
      </c>
    </row>
    <row r="11" spans="1:8" x14ac:dyDescent="0.25">
      <c r="A11" s="4">
        <v>45077</v>
      </c>
      <c r="B11" s="5" t="s">
        <v>20</v>
      </c>
      <c r="C11" s="5" t="s">
        <v>8</v>
      </c>
      <c r="D11" s="5" t="s">
        <v>40</v>
      </c>
      <c r="E11" s="5" t="s">
        <v>42</v>
      </c>
      <c r="F11" s="7">
        <v>5100</v>
      </c>
      <c r="G11" s="7">
        <v>1220</v>
      </c>
      <c r="H11" s="8">
        <f>IFERROR(G11/F11,0)</f>
        <v>0.23921568627450981</v>
      </c>
    </row>
    <row r="12" spans="1:8" x14ac:dyDescent="0.25">
      <c r="A12" s="4">
        <v>45077</v>
      </c>
      <c r="B12" s="5" t="s">
        <v>21</v>
      </c>
      <c r="C12" s="5" t="s">
        <v>57</v>
      </c>
      <c r="D12" s="5" t="s">
        <v>40</v>
      </c>
      <c r="E12" s="5" t="s">
        <v>42</v>
      </c>
      <c r="F12" s="7">
        <v>4750</v>
      </c>
      <c r="G12" s="7">
        <v>1435</v>
      </c>
      <c r="H12" s="8">
        <f>IFERROR(G12/F12,0)</f>
        <v>0.30210526315789471</v>
      </c>
    </row>
    <row r="13" spans="1:8" x14ac:dyDescent="0.25">
      <c r="A13" s="4">
        <v>45077</v>
      </c>
      <c r="B13" s="5" t="s">
        <v>22</v>
      </c>
      <c r="C13" s="5" t="s">
        <v>58</v>
      </c>
      <c r="D13" s="5" t="s">
        <v>45</v>
      </c>
      <c r="E13" s="5" t="s">
        <v>46</v>
      </c>
      <c r="F13" s="7">
        <v>6000</v>
      </c>
      <c r="G13" s="7">
        <v>998</v>
      </c>
      <c r="H13" s="8">
        <f>IFERROR(G13/F13,0)</f>
        <v>0.16633333333333333</v>
      </c>
    </row>
    <row r="14" spans="1:8" x14ac:dyDescent="0.25">
      <c r="A14" s="4">
        <v>45077</v>
      </c>
      <c r="B14" s="5" t="s">
        <v>23</v>
      </c>
      <c r="C14" s="5" t="s">
        <v>59</v>
      </c>
      <c r="D14" s="5" t="s">
        <v>47</v>
      </c>
      <c r="E14" s="5" t="s">
        <v>48</v>
      </c>
      <c r="F14" s="7">
        <v>4500</v>
      </c>
      <c r="G14" s="7">
        <v>780</v>
      </c>
      <c r="H14" s="8">
        <f>IFERROR(G14/F14,0)</f>
        <v>0.17333333333333334</v>
      </c>
    </row>
    <row r="15" spans="1:8" x14ac:dyDescent="0.25">
      <c r="A15" s="4">
        <v>45078</v>
      </c>
      <c r="B15" s="5" t="s">
        <v>24</v>
      </c>
      <c r="C15" s="5" t="s">
        <v>9</v>
      </c>
      <c r="D15" s="5" t="s">
        <v>47</v>
      </c>
      <c r="E15" s="5" t="s">
        <v>48</v>
      </c>
      <c r="F15" s="7" t="s">
        <v>39</v>
      </c>
      <c r="G15" s="7">
        <v>1044</v>
      </c>
      <c r="H15" s="8">
        <f>IFERROR(G15/F15,0)</f>
        <v>0</v>
      </c>
    </row>
    <row r="16" spans="1:8" x14ac:dyDescent="0.25">
      <c r="A16" s="4">
        <v>45078</v>
      </c>
      <c r="B16" s="5" t="s">
        <v>25</v>
      </c>
      <c r="C16" s="5" t="s">
        <v>60</v>
      </c>
      <c r="D16" s="5" t="s">
        <v>47</v>
      </c>
      <c r="E16" s="5" t="s">
        <v>48</v>
      </c>
      <c r="F16" s="7">
        <v>3712.5</v>
      </c>
      <c r="G16" s="7">
        <v>1222</v>
      </c>
      <c r="H16" s="8">
        <f>IFERROR(G16/F16,0)</f>
        <v>0.32915824915824915</v>
      </c>
    </row>
    <row r="17" spans="1:8" x14ac:dyDescent="0.25">
      <c r="A17" s="4">
        <v>45078</v>
      </c>
      <c r="B17" s="5" t="s">
        <v>26</v>
      </c>
      <c r="C17" s="5" t="s">
        <v>61</v>
      </c>
      <c r="D17" s="5" t="s">
        <v>47</v>
      </c>
      <c r="E17" s="5" t="s">
        <v>48</v>
      </c>
      <c r="F17" s="7">
        <v>4950</v>
      </c>
      <c r="G17" s="7">
        <v>1065</v>
      </c>
      <c r="H17" s="8">
        <f>IFERROR(G17/F17,0)</f>
        <v>0.21515151515151515</v>
      </c>
    </row>
    <row r="18" spans="1:8" x14ac:dyDescent="0.25">
      <c r="A18" s="4">
        <v>45078</v>
      </c>
      <c r="B18" s="5" t="s">
        <v>27</v>
      </c>
      <c r="C18" s="5" t="s">
        <v>62</v>
      </c>
      <c r="D18" s="5" t="s">
        <v>45</v>
      </c>
      <c r="E18" s="5" t="s">
        <v>46</v>
      </c>
      <c r="F18" s="7">
        <v>4750</v>
      </c>
      <c r="G18" s="7">
        <v>810</v>
      </c>
      <c r="H18" s="8">
        <f>IFERROR(G18/F18,0)</f>
        <v>0.17052631578947369</v>
      </c>
    </row>
    <row r="19" spans="1:8" x14ac:dyDescent="0.25">
      <c r="A19" s="4">
        <v>45078</v>
      </c>
      <c r="B19" s="5" t="s">
        <v>28</v>
      </c>
      <c r="C19" s="5" t="s">
        <v>63</v>
      </c>
      <c r="D19" s="5" t="s">
        <v>45</v>
      </c>
      <c r="E19" s="5" t="s">
        <v>46</v>
      </c>
      <c r="F19" s="7">
        <v>7320</v>
      </c>
      <c r="G19" s="7">
        <v>933</v>
      </c>
      <c r="H19" s="8">
        <f>IFERROR(G19/F19,0)</f>
        <v>0.12745901639344262</v>
      </c>
    </row>
    <row r="20" spans="1:8" x14ac:dyDescent="0.25">
      <c r="A20" s="4">
        <v>45077</v>
      </c>
      <c r="B20" s="5" t="s">
        <v>29</v>
      </c>
      <c r="C20" s="5" t="s">
        <v>64</v>
      </c>
      <c r="D20" s="5" t="s">
        <v>47</v>
      </c>
      <c r="E20" s="5" t="s">
        <v>48</v>
      </c>
      <c r="F20" s="7">
        <v>6000</v>
      </c>
      <c r="G20" s="7">
        <v>998</v>
      </c>
      <c r="H20" s="8">
        <f>IFERROR(G20/F20,0)</f>
        <v>0.16633333333333333</v>
      </c>
    </row>
    <row r="21" spans="1:8" x14ac:dyDescent="0.25">
      <c r="A21" s="4">
        <v>45077</v>
      </c>
      <c r="B21" s="5" t="s">
        <v>30</v>
      </c>
      <c r="C21" s="5" t="s">
        <v>65</v>
      </c>
      <c r="D21" s="5" t="s">
        <v>47</v>
      </c>
      <c r="E21" s="5" t="s">
        <v>48</v>
      </c>
      <c r="F21" s="7">
        <v>4500</v>
      </c>
      <c r="G21" s="7">
        <v>780</v>
      </c>
      <c r="H21" s="8">
        <f>IFERROR(G21/F21,0)</f>
        <v>0.17333333333333334</v>
      </c>
    </row>
    <row r="22" spans="1:8" x14ac:dyDescent="0.25">
      <c r="A22" s="4">
        <v>45078</v>
      </c>
      <c r="B22" s="5" t="s">
        <v>31</v>
      </c>
      <c r="C22" s="5" t="s">
        <v>66</v>
      </c>
      <c r="D22" s="5" t="s">
        <v>47</v>
      </c>
      <c r="E22" s="5" t="s">
        <v>48</v>
      </c>
      <c r="F22" s="7">
        <v>5087.5</v>
      </c>
      <c r="G22" s="7">
        <v>655</v>
      </c>
      <c r="H22" s="8">
        <f>IFERROR(G22/F22,0)</f>
        <v>0.12874692874692875</v>
      </c>
    </row>
    <row r="23" spans="1:8" x14ac:dyDescent="0.25">
      <c r="A23" s="4">
        <v>45078</v>
      </c>
      <c r="B23" s="5" t="s">
        <v>32</v>
      </c>
      <c r="C23" s="5" t="s">
        <v>67</v>
      </c>
      <c r="D23" s="5" t="s">
        <v>47</v>
      </c>
      <c r="E23" s="5" t="s">
        <v>48</v>
      </c>
      <c r="F23" s="7">
        <v>4500</v>
      </c>
      <c r="G23" s="7">
        <v>722</v>
      </c>
      <c r="H23" s="8">
        <f>IFERROR(G23/F23,0)</f>
        <v>0.16044444444444445</v>
      </c>
    </row>
    <row r="24" spans="1:8" x14ac:dyDescent="0.25">
      <c r="A24" s="4">
        <v>45078</v>
      </c>
      <c r="B24" s="5" t="s">
        <v>33</v>
      </c>
      <c r="C24" s="5" t="s">
        <v>68</v>
      </c>
      <c r="D24" s="5" t="s">
        <v>43</v>
      </c>
      <c r="E24" s="5" t="s">
        <v>44</v>
      </c>
      <c r="F24" s="7">
        <v>4250</v>
      </c>
      <c r="G24" s="7">
        <v>901</v>
      </c>
      <c r="H24" s="8">
        <f>IFERROR(G24/F24,0)</f>
        <v>0.21199999999999999</v>
      </c>
    </row>
    <row r="25" spans="1:8" x14ac:dyDescent="0.25">
      <c r="A25" s="4">
        <v>45079</v>
      </c>
      <c r="B25" s="5" t="s">
        <v>34</v>
      </c>
      <c r="C25" s="5" t="s">
        <v>69</v>
      </c>
      <c r="D25" s="5" t="s">
        <v>43</v>
      </c>
      <c r="E25" s="5" t="s">
        <v>44</v>
      </c>
      <c r="F25" s="7">
        <v>5250</v>
      </c>
      <c r="G25" s="7">
        <v>1349</v>
      </c>
      <c r="H25" s="8">
        <f>IFERROR(G25/F25,0)</f>
        <v>0.25695238095238093</v>
      </c>
    </row>
    <row r="26" spans="1:8" x14ac:dyDescent="0.25">
      <c r="A26" s="4">
        <v>45079</v>
      </c>
      <c r="B26" s="5" t="s">
        <v>35</v>
      </c>
      <c r="C26" s="5" t="s">
        <v>70</v>
      </c>
      <c r="D26" s="5" t="s">
        <v>43</v>
      </c>
      <c r="E26" s="5" t="s">
        <v>44</v>
      </c>
      <c r="F26" s="7">
        <v>6500</v>
      </c>
      <c r="G26" s="7">
        <v>1288</v>
      </c>
      <c r="H26" s="8">
        <f>IFERROR(G26/F26,0)</f>
        <v>0.19815384615384615</v>
      </c>
    </row>
    <row r="27" spans="1:8" x14ac:dyDescent="0.25">
      <c r="A27" s="4">
        <v>45079</v>
      </c>
      <c r="B27" s="5" t="s">
        <v>36</v>
      </c>
      <c r="C27" s="5" t="s">
        <v>71</v>
      </c>
      <c r="D27" s="5" t="s">
        <v>43</v>
      </c>
      <c r="E27" s="5" t="s">
        <v>44</v>
      </c>
      <c r="F27" s="7">
        <v>7500</v>
      </c>
      <c r="G27" s="7">
        <v>1664</v>
      </c>
      <c r="H27" s="8">
        <f>IFERROR(G27/F27,0)</f>
        <v>0.22186666666666666</v>
      </c>
    </row>
    <row r="28" spans="1:8" x14ac:dyDescent="0.25">
      <c r="A28" s="4">
        <v>45079</v>
      </c>
      <c r="B28" s="5" t="s">
        <v>37</v>
      </c>
      <c r="C28" s="5" t="s">
        <v>72</v>
      </c>
      <c r="D28" s="5" t="s">
        <v>43</v>
      </c>
      <c r="E28" s="5" t="s">
        <v>44</v>
      </c>
      <c r="F28" s="7">
        <v>5500</v>
      </c>
      <c r="G28" s="7">
        <v>1320</v>
      </c>
      <c r="H28" s="8">
        <f>IFERROR(G28/F28,0)</f>
        <v>0.24</v>
      </c>
    </row>
    <row r="29" spans="1:8" x14ac:dyDescent="0.25">
      <c r="A29" s="4">
        <v>45079</v>
      </c>
      <c r="B29" s="5" t="s">
        <v>38</v>
      </c>
      <c r="C29" s="5" t="s">
        <v>10</v>
      </c>
      <c r="D29" s="5" t="s">
        <v>43</v>
      </c>
      <c r="E29" s="5" t="s">
        <v>44</v>
      </c>
      <c r="F29" s="7">
        <v>4625</v>
      </c>
      <c r="G29" s="7">
        <v>1001</v>
      </c>
      <c r="H29" s="8">
        <f>IFERROR(G29/F29,0)</f>
        <v>0.21643243243243243</v>
      </c>
    </row>
    <row r="30" spans="1:8" x14ac:dyDescent="0.25">
      <c r="A30" s="4">
        <v>45079</v>
      </c>
      <c r="B30" s="5" t="s">
        <v>22</v>
      </c>
      <c r="C30" s="5" t="s">
        <v>58</v>
      </c>
      <c r="D30" s="5" t="s">
        <v>45</v>
      </c>
      <c r="E30" s="5" t="s">
        <v>46</v>
      </c>
      <c r="F30" s="7">
        <v>4500</v>
      </c>
      <c r="G30" s="7">
        <v>960</v>
      </c>
      <c r="H30" s="8">
        <f>IFERROR(G30/F30,0)</f>
        <v>0.21333333333333335</v>
      </c>
    </row>
    <row r="31" spans="1:8" x14ac:dyDescent="0.25">
      <c r="A31" s="4">
        <v>45079</v>
      </c>
      <c r="B31" s="5" t="s">
        <v>23</v>
      </c>
      <c r="C31" s="5" t="s">
        <v>59</v>
      </c>
      <c r="D31" s="5" t="s">
        <v>47</v>
      </c>
      <c r="E31" s="5" t="s">
        <v>48</v>
      </c>
      <c r="F31" s="7">
        <v>5400</v>
      </c>
      <c r="G31" s="7">
        <v>540</v>
      </c>
      <c r="H31" s="8">
        <f>IFERROR(G31/F31,0)</f>
        <v>0.1</v>
      </c>
    </row>
    <row r="32" spans="1:8" x14ac:dyDescent="0.25">
      <c r="F32" s="1"/>
    </row>
  </sheetData>
  <conditionalFormatting sqref="B1001:B1048576 B1:B32">
    <cfRule type="duplicateValues" dxfId="12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2026-10-08T10:22:15Z</dcterms:created>
  <dcterms:modified xsi:type="dcterms:W3CDTF">2026-10-08T10:22:15Z</dcterms:modified>
</cp:coreProperties>
</file>